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" sheetId="1" r:id="rId1"/>
  </sheets>
  <calcPr calcId="124519" fullCalcOnLoad="1"/>
</workbook>
</file>

<file path=xl/sharedStrings.xml><?xml version="1.0" encoding="utf-8"?>
<sst xmlns="http://schemas.openxmlformats.org/spreadsheetml/2006/main" count="155" uniqueCount="87">
  <si>
    <t>DATE</t>
  </si>
  <si>
    <t>DAY</t>
  </si>
  <si>
    <t>🔥 WIN %</t>
  </si>
  <si>
    <t>⏰ Wake 7am</t>
  </si>
  <si>
    <t>🏋️ Gym (2hr)</t>
  </si>
  <si>
    <t>🧠 Prep (2hr)</t>
  </si>
  <si>
    <t>💼 Job (9hr)</t>
  </si>
  <si>
    <t>🎧 Audio (1hr)</t>
  </si>
  <si>
    <t>💻 Prep (1hr)</t>
  </si>
  <si>
    <t>🚶 Walking</t>
  </si>
  <si>
    <t>🥗 Protein</t>
  </si>
  <si>
    <t>❌ No Junk</t>
  </si>
  <si>
    <t>💤 Sleep 12am</t>
  </si>
  <si>
    <t>📝 NOTES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</si>
  <si>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</si>
  <si>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</si>
  <si>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</si>
  <si>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</si>
  <si>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</si>
  <si>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</si>
  <si>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</si>
  <si>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</si>
  <si>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</si>
  <si>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</si>
  <si>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</si>
  <si>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</si>
  <si>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</si>
  <si>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</si>
  <si>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</si>
  <si>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</si>
  <si>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</si>
  <si>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</si>
  <si>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</si>
  <si>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</si>
  <si>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</si>
  <si>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</si>
  <si>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</si>
  <si>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</si>
  <si>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</si>
  <si>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</si>
  <si>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</si>
  <si>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</si>
  <si>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</si>
  <si>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</si>
  <si>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</si>
  <si>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</si>
  <si>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</si>
  <si>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</si>
  <si>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</si>
  <si>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</si>
  <si>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</si>
  <si>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</si>
  <si>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</si>
  <si>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</si>
  <si>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</si>
  <si>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</si>
  <si>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</si>
  <si>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</si>
  <si>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</si>
  <si>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</si>
  <si>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</si>
  <si>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</si>
  <si>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</si>
  <si>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</si>
  <si>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</si>
  <si>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</si>
  <si>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</si>
  <si>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</si>
  <si>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</si>
  <si>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</si>
  <si>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</si>
  <si>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</si>
  <si>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</si>
  <si>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</si>
  <si>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</si>
  <si>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Fri</t>
  </si>
  <si>
    <t>Sat</t>
  </si>
  <si>
    <t>Sun</t>
  </si>
  <si>
    <t>Mon</t>
  </si>
  <si>
    <t>Tue</t>
  </si>
  <si>
    <t>Wed</t>
  </si>
  <si>
    <t>Thu</t>
  </si>
  <si>
    <t>🛡️ IRON PROTOCOL: OFFICIAL DASHBOARD</t>
  </si>
  <si>
    <t>20 Feb - 21 Apr</t>
  </si>
  <si>
    <t>PROTOCOL ADHERENCE</t>
  </si>
  <si>
    <t>DEEP WORK HOURS</t>
  </si>
  <si>
    <t>🏆 STRONGEST HABIT</t>
  </si>
</sst>
</file>

<file path=xl/styles.xml><?xml version="1.0" encoding="utf-8"?>
<styleSheet xmlns="http://schemas.openxmlformats.org/spreadsheetml/2006/main">
  <numFmts count="2">
    <numFmt numFmtId="164" formatCode="dd-mmm"/>
    <numFmt numFmtId="165" formatCode="0%"/>
  </numFmts>
  <fonts count="11">
    <font>
      <sz val="11"/>
      <color theme="1"/>
      <name val="Calibri"/>
      <family val="2"/>
      <scheme val="minor"/>
    </font>
    <font>
      <b/>
      <sz val="11"/>
      <color rgb="FF3B82F6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b/>
      <sz val="11"/>
      <color rgb="FF64748B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24"/>
      <color rgb="FF3B82F6"/>
      <name val="Calibri"/>
      <family val="2"/>
      <scheme val="minor"/>
    </font>
    <font>
      <b/>
      <sz val="22"/>
      <color rgb="FF0F172A"/>
      <name val="Calibri"/>
      <family val="2"/>
      <scheme val="minor"/>
    </font>
    <font>
      <b/>
      <sz val="20"/>
      <color rgb="FF16A34A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70"/>
  <sheetViews>
    <sheetView showGridLines="0" tabSelected="1" workbookViewId="0"/>
  </sheetViews>
  <sheetFormatPr defaultRowHeight="15"/>
  <cols>
    <col min="1" max="1" width="10.7109375" style="1" customWidth="1"/>
    <col min="2" max="2" width="6.7109375" style="2" customWidth="1"/>
    <col min="3" max="3" width="10.7109375" style="3" customWidth="1"/>
    <col min="4" max="13" width="11.7109375" style="4" customWidth="1"/>
    <col min="14" max="14" width="30.7109375" style="4" customWidth="1"/>
  </cols>
  <sheetData>
    <row r="2" spans="1:14">
      <c r="B2" s="5" t="s">
        <v>82</v>
      </c>
      <c r="C2" s="5"/>
      <c r="D2" s="5"/>
      <c r="E2" s="5"/>
    </row>
    <row r="3" spans="1:14">
      <c r="B3" s="6" t="s">
        <v>83</v>
      </c>
    </row>
    <row r="5" spans="1:14">
      <c r="B5" s="7" t="s">
        <v>84</v>
      </c>
      <c r="C5" s="7"/>
      <c r="E5" s="7" t="s">
        <v>85</v>
      </c>
      <c r="F5" s="7"/>
      <c r="H5" s="7" t="s">
        <v>86</v>
      </c>
      <c r="I5" s="7"/>
      <c r="J5" s="7"/>
    </row>
    <row r="6" spans="1:14">
      <c r="B6" s="8">
        <f>AVERAGE(C10:C70)</f>
        <v>0</v>
      </c>
      <c r="C6" s="8"/>
      <c r="E6" s="9">
        <f>(COUNTIF(F10:F70, "✓")*2) + (COUNTIF(I10:I70, "✓")*1)</f>
        <v>0</v>
      </c>
      <c r="F6" s="9"/>
      <c r="H6" s="10">
        <f>INDEX(D9:M9, MATCH(MAX(D7:M7), D7:M7, 0))</f>
        <v>0</v>
      </c>
      <c r="I6" s="10"/>
      <c r="J6" s="10"/>
    </row>
    <row r="7" spans="1:14" hidden="1">
      <c r="D7" s="4">
        <f>COUNTIF(D10:D70, "✓")/61</f>
        <v>0</v>
      </c>
      <c r="E7" s="4">
        <f>COUNTIF(E10:E70, "✓")/61</f>
        <v>0</v>
      </c>
      <c r="F7" s="4">
        <f>COUNTIF(F10:F70, "✓")/61</f>
        <v>0</v>
      </c>
      <c r="G7" s="4">
        <f>COUNTIF(G10:G70, "✓")/61</f>
        <v>0</v>
      </c>
      <c r="H7" s="4">
        <f>COUNTIF(H10:H70, "✓")/61</f>
        <v>0</v>
      </c>
      <c r="I7" s="4">
        <f>COUNTIF(I10:I70, "✓")/61</f>
        <v>0</v>
      </c>
      <c r="J7" s="4">
        <f>COUNTIF(J10:J70, "✓")/61</f>
        <v>0</v>
      </c>
      <c r="K7" s="4">
        <f>COUNTIF(K10:K70, "✓")/61</f>
        <v>0</v>
      </c>
      <c r="L7" s="4">
        <f>COUNTIF(L10:L70, "✓")/61</f>
        <v>0</v>
      </c>
      <c r="M7" s="4">
        <f>COUNTIF(M10:M70, "✓")/61</f>
        <v>0</v>
      </c>
    </row>
    <row r="9" spans="1:14">
      <c r="A9" s="11" t="s">
        <v>0</v>
      </c>
      <c r="B9" s="11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</row>
    <row r="10" spans="1:14">
      <c r="A10" s="1" t="s">
        <v>14</v>
      </c>
      <c r="B10" s="2" t="s">
        <v>75</v>
      </c>
      <c r="C10" s="3">
        <f>(COUNTIF(D10:M10, "✓")) / 10</f>
        <v>0</v>
      </c>
    </row>
    <row r="11" spans="1:14">
      <c r="A11" s="1" t="s">
        <v>15</v>
      </c>
      <c r="B11" s="2" t="s">
        <v>76</v>
      </c>
      <c r="C11" s="3">
        <f>(COUNTIF(D11:M11, "✓")) / 10</f>
        <v>0</v>
      </c>
    </row>
    <row r="12" spans="1:14">
      <c r="A12" s="1" t="s">
        <v>16</v>
      </c>
      <c r="B12" s="2" t="s">
        <v>77</v>
      </c>
      <c r="C12" s="3">
        <f>(COUNTIF(D12:M12, "✓")) / 10</f>
        <v>0</v>
      </c>
    </row>
    <row r="13" spans="1:14">
      <c r="A13" s="1" t="s">
        <v>17</v>
      </c>
      <c r="B13" s="2" t="s">
        <v>78</v>
      </c>
      <c r="C13" s="3">
        <f>(COUNTIF(D13:M13, "✓")) / 10</f>
        <v>0</v>
      </c>
    </row>
    <row r="14" spans="1:14">
      <c r="A14" s="1" t="s">
        <v>18</v>
      </c>
      <c r="B14" s="2" t="s">
        <v>79</v>
      </c>
      <c r="C14" s="3">
        <f>(COUNTIF(D14:M14, "✓")) / 10</f>
        <v>0</v>
      </c>
    </row>
    <row r="15" spans="1:14">
      <c r="A15" s="1" t="s">
        <v>19</v>
      </c>
      <c r="B15" s="2" t="s">
        <v>80</v>
      </c>
      <c r="C15" s="3">
        <f>(COUNTIF(D15:M15, "✓")) / 10</f>
        <v>0</v>
      </c>
    </row>
    <row r="16" spans="1:14">
      <c r="A16" s="1" t="s">
        <v>20</v>
      </c>
      <c r="B16" s="2" t="s">
        <v>81</v>
      </c>
      <c r="C16" s="3">
        <f>(COUNTIF(D16:M16, "✓")) / 10</f>
        <v>0</v>
      </c>
    </row>
    <row r="17" spans="1:3">
      <c r="A17" s="1" t="s">
        <v>21</v>
      </c>
      <c r="B17" s="2" t="s">
        <v>75</v>
      </c>
      <c r="C17" s="3">
        <f>(COUNTIF(D17:M17, "✓")) / 10</f>
        <v>0</v>
      </c>
    </row>
    <row r="18" spans="1:3">
      <c r="A18" s="1" t="s">
        <v>22</v>
      </c>
      <c r="B18" s="2" t="s">
        <v>76</v>
      </c>
      <c r="C18" s="3">
        <f>(COUNTIF(D18:M18, "✓")) / 10</f>
        <v>0</v>
      </c>
    </row>
    <row r="19" spans="1:3">
      <c r="A19" s="1" t="s">
        <v>23</v>
      </c>
      <c r="B19" s="2" t="s">
        <v>77</v>
      </c>
      <c r="C19" s="3">
        <f>(COUNTIF(D19:M19, "✓")) / 10</f>
        <v>0</v>
      </c>
    </row>
    <row r="20" spans="1:3">
      <c r="A20" s="1" t="s">
        <v>24</v>
      </c>
      <c r="B20" s="2" t="s">
        <v>78</v>
      </c>
      <c r="C20" s="3">
        <f>(COUNTIF(D20:M20, "✓")) / 10</f>
        <v>0</v>
      </c>
    </row>
    <row r="21" spans="1:3">
      <c r="A21" s="1" t="s">
        <v>25</v>
      </c>
      <c r="B21" s="2" t="s">
        <v>79</v>
      </c>
      <c r="C21" s="3">
        <f>(COUNTIF(D21:M21, "✓")) / 10</f>
        <v>0</v>
      </c>
    </row>
    <row r="22" spans="1:3">
      <c r="A22" s="1" t="s">
        <v>26</v>
      </c>
      <c r="B22" s="2" t="s">
        <v>80</v>
      </c>
      <c r="C22" s="3">
        <f>(COUNTIF(D22:M22, "✓")) / 10</f>
        <v>0</v>
      </c>
    </row>
    <row r="23" spans="1:3">
      <c r="A23" s="1" t="s">
        <v>27</v>
      </c>
      <c r="B23" s="2" t="s">
        <v>81</v>
      </c>
      <c r="C23" s="3">
        <f>(COUNTIF(D23:M23, "✓")) / 10</f>
        <v>0</v>
      </c>
    </row>
    <row r="24" spans="1:3">
      <c r="A24" s="1" t="s">
        <v>28</v>
      </c>
      <c r="B24" s="2" t="s">
        <v>75</v>
      </c>
      <c r="C24" s="3">
        <f>(COUNTIF(D24:M24, "✓")) / 10</f>
        <v>0</v>
      </c>
    </row>
    <row r="25" spans="1:3">
      <c r="A25" s="1" t="s">
        <v>29</v>
      </c>
      <c r="B25" s="2" t="s">
        <v>76</v>
      </c>
      <c r="C25" s="3">
        <f>(COUNTIF(D25:M25, "✓")) / 10</f>
        <v>0</v>
      </c>
    </row>
    <row r="26" spans="1:3">
      <c r="A26" s="1" t="s">
        <v>30</v>
      </c>
      <c r="B26" s="2" t="s">
        <v>77</v>
      </c>
      <c r="C26" s="3">
        <f>(COUNTIF(D26:M26, "✓")) / 10</f>
        <v>0</v>
      </c>
    </row>
    <row r="27" spans="1:3">
      <c r="A27" s="1" t="s">
        <v>31</v>
      </c>
      <c r="B27" s="2" t="s">
        <v>78</v>
      </c>
      <c r="C27" s="3">
        <f>(COUNTIF(D27:M27, "✓")) / 10</f>
        <v>0</v>
      </c>
    </row>
    <row r="28" spans="1:3">
      <c r="A28" s="1" t="s">
        <v>32</v>
      </c>
      <c r="B28" s="2" t="s">
        <v>79</v>
      </c>
      <c r="C28" s="3">
        <f>(COUNTIF(D28:M28, "✓")) / 10</f>
        <v>0</v>
      </c>
    </row>
    <row r="29" spans="1:3">
      <c r="A29" s="1" t="s">
        <v>33</v>
      </c>
      <c r="B29" s="2" t="s">
        <v>80</v>
      </c>
      <c r="C29" s="3">
        <f>(COUNTIF(D29:M29, "✓")) / 10</f>
        <v>0</v>
      </c>
    </row>
    <row r="30" spans="1:3">
      <c r="A30" s="1" t="s">
        <v>34</v>
      </c>
      <c r="B30" s="2" t="s">
        <v>81</v>
      </c>
      <c r="C30" s="3">
        <f>(COUNTIF(D30:M30, "✓")) / 10</f>
        <v>0</v>
      </c>
    </row>
    <row r="31" spans="1:3">
      <c r="A31" s="1" t="s">
        <v>35</v>
      </c>
      <c r="B31" s="2" t="s">
        <v>75</v>
      </c>
      <c r="C31" s="3">
        <f>(COUNTIF(D31:M31, "✓")) / 10</f>
        <v>0</v>
      </c>
    </row>
    <row r="32" spans="1:3">
      <c r="A32" s="1" t="s">
        <v>36</v>
      </c>
      <c r="B32" s="2" t="s">
        <v>76</v>
      </c>
      <c r="C32" s="3">
        <f>(COUNTIF(D32:M32, "✓")) / 10</f>
        <v>0</v>
      </c>
    </row>
    <row r="33" spans="1:3">
      <c r="A33" s="1" t="s">
        <v>37</v>
      </c>
      <c r="B33" s="2" t="s">
        <v>77</v>
      </c>
      <c r="C33" s="3">
        <f>(COUNTIF(D33:M33, "✓")) / 10</f>
        <v>0</v>
      </c>
    </row>
    <row r="34" spans="1:3">
      <c r="A34" s="1" t="s">
        <v>38</v>
      </c>
      <c r="B34" s="2" t="s">
        <v>78</v>
      </c>
      <c r="C34" s="3">
        <f>(COUNTIF(D34:M34, "✓")) / 10</f>
        <v>0</v>
      </c>
    </row>
    <row r="35" spans="1:3">
      <c r="A35" s="1" t="s">
        <v>39</v>
      </c>
      <c r="B35" s="2" t="s">
        <v>79</v>
      </c>
      <c r="C35" s="3">
        <f>(COUNTIF(D35:M35, "✓")) / 10</f>
        <v>0</v>
      </c>
    </row>
    <row r="36" spans="1:3">
      <c r="A36" s="1" t="s">
        <v>40</v>
      </c>
      <c r="B36" s="2" t="s">
        <v>80</v>
      </c>
      <c r="C36" s="3">
        <f>(COUNTIF(D36:M36, "✓")) / 10</f>
        <v>0</v>
      </c>
    </row>
    <row r="37" spans="1:3">
      <c r="A37" s="1" t="s">
        <v>41</v>
      </c>
      <c r="B37" s="2" t="s">
        <v>81</v>
      </c>
      <c r="C37" s="3">
        <f>(COUNTIF(D37:M37, "✓")) / 10</f>
        <v>0</v>
      </c>
    </row>
    <row r="38" spans="1:3">
      <c r="A38" s="1" t="s">
        <v>42</v>
      </c>
      <c r="B38" s="2" t="s">
        <v>75</v>
      </c>
      <c r="C38" s="3">
        <f>(COUNTIF(D38:M38, "✓")) / 10</f>
        <v>0</v>
      </c>
    </row>
    <row r="39" spans="1:3">
      <c r="A39" s="1" t="s">
        <v>43</v>
      </c>
      <c r="B39" s="2" t="s">
        <v>76</v>
      </c>
      <c r="C39" s="3">
        <f>(COUNTIF(D39:M39, "✓")) / 10</f>
        <v>0</v>
      </c>
    </row>
    <row r="40" spans="1:3">
      <c r="A40" s="1" t="s">
        <v>44</v>
      </c>
      <c r="B40" s="2" t="s">
        <v>77</v>
      </c>
      <c r="C40" s="3">
        <f>(COUNTIF(D40:M40, "✓")) / 10</f>
        <v>0</v>
      </c>
    </row>
    <row r="41" spans="1:3">
      <c r="A41" s="1" t="s">
        <v>45</v>
      </c>
      <c r="B41" s="2" t="s">
        <v>78</v>
      </c>
      <c r="C41" s="3">
        <f>(COUNTIF(D41:M41, "✓")) / 10</f>
        <v>0</v>
      </c>
    </row>
    <row r="42" spans="1:3">
      <c r="A42" s="1" t="s">
        <v>46</v>
      </c>
      <c r="B42" s="2" t="s">
        <v>79</v>
      </c>
      <c r="C42" s="3">
        <f>(COUNTIF(D42:M42, "✓")) / 10</f>
        <v>0</v>
      </c>
    </row>
    <row r="43" spans="1:3">
      <c r="A43" s="1" t="s">
        <v>47</v>
      </c>
      <c r="B43" s="2" t="s">
        <v>80</v>
      </c>
      <c r="C43" s="3">
        <f>(COUNTIF(D43:M43, "✓")) / 10</f>
        <v>0</v>
      </c>
    </row>
    <row r="44" spans="1:3">
      <c r="A44" s="1" t="s">
        <v>48</v>
      </c>
      <c r="B44" s="2" t="s">
        <v>81</v>
      </c>
      <c r="C44" s="3">
        <f>(COUNTIF(D44:M44, "✓")) / 10</f>
        <v>0</v>
      </c>
    </row>
    <row r="45" spans="1:3">
      <c r="A45" s="1" t="s">
        <v>49</v>
      </c>
      <c r="B45" s="2" t="s">
        <v>75</v>
      </c>
      <c r="C45" s="3">
        <f>(COUNTIF(D45:M45, "✓")) / 10</f>
        <v>0</v>
      </c>
    </row>
    <row r="46" spans="1:3">
      <c r="A46" s="1" t="s">
        <v>50</v>
      </c>
      <c r="B46" s="2" t="s">
        <v>76</v>
      </c>
      <c r="C46" s="3">
        <f>(COUNTIF(D46:M46, "✓")) / 10</f>
        <v>0</v>
      </c>
    </row>
    <row r="47" spans="1:3">
      <c r="A47" s="1" t="s">
        <v>51</v>
      </c>
      <c r="B47" s="2" t="s">
        <v>77</v>
      </c>
      <c r="C47" s="3">
        <f>(COUNTIF(D47:M47, "✓")) / 10</f>
        <v>0</v>
      </c>
    </row>
    <row r="48" spans="1:3">
      <c r="A48" s="1" t="s">
        <v>52</v>
      </c>
      <c r="B48" s="2" t="s">
        <v>78</v>
      </c>
      <c r="C48" s="3">
        <f>(COUNTIF(D48:M48, "✓")) / 10</f>
        <v>0</v>
      </c>
    </row>
    <row r="49" spans="1:3">
      <c r="A49" s="1" t="s">
        <v>53</v>
      </c>
      <c r="B49" s="2" t="s">
        <v>79</v>
      </c>
      <c r="C49" s="3">
        <f>(COUNTIF(D49:M49, "✓")) / 10</f>
        <v>0</v>
      </c>
    </row>
    <row r="50" spans="1:3">
      <c r="A50" s="1" t="s">
        <v>54</v>
      </c>
      <c r="B50" s="2" t="s">
        <v>80</v>
      </c>
      <c r="C50" s="3">
        <f>(COUNTIF(D50:M50, "✓")) / 10</f>
        <v>0</v>
      </c>
    </row>
    <row r="51" spans="1:3">
      <c r="A51" s="1" t="s">
        <v>55</v>
      </c>
      <c r="B51" s="2" t="s">
        <v>81</v>
      </c>
      <c r="C51" s="3">
        <f>(COUNTIF(D51:M51, "✓")) / 10</f>
        <v>0</v>
      </c>
    </row>
    <row r="52" spans="1:3">
      <c r="A52" s="1" t="s">
        <v>56</v>
      </c>
      <c r="B52" s="2" t="s">
        <v>75</v>
      </c>
      <c r="C52" s="3">
        <f>(COUNTIF(D52:M52, "✓")) / 10</f>
        <v>0</v>
      </c>
    </row>
    <row r="53" spans="1:3">
      <c r="A53" s="1" t="s">
        <v>57</v>
      </c>
      <c r="B53" s="2" t="s">
        <v>76</v>
      </c>
      <c r="C53" s="3">
        <f>(COUNTIF(D53:M53, "✓")) / 10</f>
        <v>0</v>
      </c>
    </row>
    <row r="54" spans="1:3">
      <c r="A54" s="1" t="s">
        <v>58</v>
      </c>
      <c r="B54" s="2" t="s">
        <v>77</v>
      </c>
      <c r="C54" s="3">
        <f>(COUNTIF(D54:M54, "✓")) / 10</f>
        <v>0</v>
      </c>
    </row>
    <row r="55" spans="1:3">
      <c r="A55" s="1" t="s">
        <v>59</v>
      </c>
      <c r="B55" s="2" t="s">
        <v>78</v>
      </c>
      <c r="C55" s="3">
        <f>(COUNTIF(D55:M55, "✓")) / 10</f>
        <v>0</v>
      </c>
    </row>
    <row r="56" spans="1:3">
      <c r="A56" s="1" t="s">
        <v>60</v>
      </c>
      <c r="B56" s="2" t="s">
        <v>79</v>
      </c>
      <c r="C56" s="3">
        <f>(COUNTIF(D56:M56, "✓")) / 10</f>
        <v>0</v>
      </c>
    </row>
    <row r="57" spans="1:3">
      <c r="A57" s="1" t="s">
        <v>61</v>
      </c>
      <c r="B57" s="2" t="s">
        <v>80</v>
      </c>
      <c r="C57" s="3">
        <f>(COUNTIF(D57:M57, "✓")) / 10</f>
        <v>0</v>
      </c>
    </row>
    <row r="58" spans="1:3">
      <c r="A58" s="1" t="s">
        <v>62</v>
      </c>
      <c r="B58" s="2" t="s">
        <v>81</v>
      </c>
      <c r="C58" s="3">
        <f>(COUNTIF(D58:M58, "✓")) / 10</f>
        <v>0</v>
      </c>
    </row>
    <row r="59" spans="1:3">
      <c r="A59" s="1" t="s">
        <v>63</v>
      </c>
      <c r="B59" s="2" t="s">
        <v>75</v>
      </c>
      <c r="C59" s="3">
        <f>(COUNTIF(D59:M59, "✓")) / 10</f>
        <v>0</v>
      </c>
    </row>
    <row r="60" spans="1:3">
      <c r="A60" s="1" t="s">
        <v>64</v>
      </c>
      <c r="B60" s="2" t="s">
        <v>76</v>
      </c>
      <c r="C60" s="3">
        <f>(COUNTIF(D60:M60, "✓")) / 10</f>
        <v>0</v>
      </c>
    </row>
    <row r="61" spans="1:3">
      <c r="A61" s="1" t="s">
        <v>65</v>
      </c>
      <c r="B61" s="2" t="s">
        <v>77</v>
      </c>
      <c r="C61" s="3">
        <f>(COUNTIF(D61:M61, "✓")) / 10</f>
        <v>0</v>
      </c>
    </row>
    <row r="62" spans="1:3">
      <c r="A62" s="1" t="s">
        <v>66</v>
      </c>
      <c r="B62" s="2" t="s">
        <v>78</v>
      </c>
      <c r="C62" s="3">
        <f>(COUNTIF(D62:M62, "✓")) / 10</f>
        <v>0</v>
      </c>
    </row>
    <row r="63" spans="1:3">
      <c r="A63" s="1" t="s">
        <v>67</v>
      </c>
      <c r="B63" s="2" t="s">
        <v>79</v>
      </c>
      <c r="C63" s="3">
        <f>(COUNTIF(D63:M63, "✓")) / 10</f>
        <v>0</v>
      </c>
    </row>
    <row r="64" spans="1:3">
      <c r="A64" s="1" t="s">
        <v>68</v>
      </c>
      <c r="B64" s="2" t="s">
        <v>80</v>
      </c>
      <c r="C64" s="3">
        <f>(COUNTIF(D64:M64, "✓")) / 10</f>
        <v>0</v>
      </c>
    </row>
    <row r="65" spans="1:3">
      <c r="A65" s="1" t="s">
        <v>69</v>
      </c>
      <c r="B65" s="2" t="s">
        <v>81</v>
      </c>
      <c r="C65" s="3">
        <f>(COUNTIF(D65:M65, "✓")) / 10</f>
        <v>0</v>
      </c>
    </row>
    <row r="66" spans="1:3">
      <c r="A66" s="1" t="s">
        <v>70</v>
      </c>
      <c r="B66" s="2" t="s">
        <v>75</v>
      </c>
      <c r="C66" s="3">
        <f>(COUNTIF(D66:M66, "✓")) / 10</f>
        <v>0</v>
      </c>
    </row>
    <row r="67" spans="1:3">
      <c r="A67" s="1" t="s">
        <v>71</v>
      </c>
      <c r="B67" s="2" t="s">
        <v>76</v>
      </c>
      <c r="C67" s="3">
        <f>(COUNTIF(D67:M67, "✓")) / 10</f>
        <v>0</v>
      </c>
    </row>
    <row r="68" spans="1:3">
      <c r="A68" s="1" t="s">
        <v>72</v>
      </c>
      <c r="B68" s="2" t="s">
        <v>77</v>
      </c>
      <c r="C68" s="3">
        <f>(COUNTIF(D68:M68, "✓")) / 10</f>
        <v>0</v>
      </c>
    </row>
    <row r="69" spans="1:3">
      <c r="A69" s="1" t="s">
        <v>73</v>
      </c>
      <c r="B69" s="2" t="s">
        <v>78</v>
      </c>
      <c r="C69" s="3">
        <f>(COUNTIF(D69:M69, "✓")) / 10</f>
        <v>0</v>
      </c>
    </row>
    <row r="70" spans="1:3">
      <c r="A70" s="1" t="s">
        <v>74</v>
      </c>
      <c r="B70" s="2" t="s">
        <v>79</v>
      </c>
      <c r="C70" s="3">
        <f>(COUNTIF(D70:M70, "✓")) / 10</f>
        <v>0</v>
      </c>
    </row>
  </sheetData>
  <mergeCells count="7">
    <mergeCell ref="B2:E2"/>
    <mergeCell ref="B5:C5"/>
    <mergeCell ref="B6:C6"/>
    <mergeCell ref="E5:F5"/>
    <mergeCell ref="E6:F6"/>
    <mergeCell ref="H5:J5"/>
    <mergeCell ref="H6:J6"/>
  </mergeCells>
  <conditionalFormatting sqref="C10:C70">
    <cfRule type="dataBar" priority="1">
      <dataBar>
        <cfvo type="num" val="0"/>
        <cfvo type="num" val="1"/>
        <color rgb="FF3B82F6"/>
      </dataBar>
    </cfRule>
  </conditionalFormatting>
  <conditionalFormatting sqref="D10:M70">
    <cfRule type="cellIs" dxfId="0" priority="2" operator="equal">
      <formula>"✓"</formula>
    </cfRule>
    <cfRule type="cellIs" dxfId="1" priority="3" operator="equal">
      <formula>"x"</formula>
    </cfRule>
  </conditionalFormatting>
  <dataValidations count="10">
    <dataValidation type="list" allowBlank="1" showInputMessage="1" showErrorMessage="1" sqref="D10:D70">
      <formula1>"✓,x"</formula1>
    </dataValidation>
    <dataValidation type="list" allowBlank="1" showInputMessage="1" showErrorMessage="1" sqref="E10:E70">
      <formula1>"✓,x"</formula1>
    </dataValidation>
    <dataValidation type="list" allowBlank="1" showInputMessage="1" showErrorMessage="1" sqref="F10:F70">
      <formula1>"✓,x"</formula1>
    </dataValidation>
    <dataValidation type="list" allowBlank="1" showInputMessage="1" showErrorMessage="1" sqref="G10:G70">
      <formula1>"✓,x"</formula1>
    </dataValidation>
    <dataValidation type="list" allowBlank="1" showInputMessage="1" showErrorMessage="1" sqref="H10:H70">
      <formula1>"✓,x"</formula1>
    </dataValidation>
    <dataValidation type="list" allowBlank="1" showInputMessage="1" showErrorMessage="1" sqref="I10:I70">
      <formula1>"✓,x"</formula1>
    </dataValidation>
    <dataValidation type="list" allowBlank="1" showInputMessage="1" showErrorMessage="1" sqref="J10:J70">
      <formula1>"✓,x"</formula1>
    </dataValidation>
    <dataValidation type="list" allowBlank="1" showInputMessage="1" showErrorMessage="1" sqref="K10:K70">
      <formula1>"✓,x"</formula1>
    </dataValidation>
    <dataValidation type="list" allowBlank="1" showInputMessage="1" showErrorMessage="1" sqref="L10:L70">
      <formula1>"✓,x"</formula1>
    </dataValidation>
    <dataValidation type="list" allowBlank="1" showInputMessage="1" showErrorMessage="1" sqref="M10:M70">
      <formula1>"✓,x"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2026-02-17T21:05:22Z</dcterms:created>
  <dcterms:modified xsi:type="dcterms:W3CDTF">2026-02-17T21:05:22Z</dcterms:modified>
</cp:coreProperties>
</file>